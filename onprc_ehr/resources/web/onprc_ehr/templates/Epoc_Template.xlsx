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Download_Network\downloads\"/>
    </mc:Choice>
  </mc:AlternateContent>
  <xr:revisionPtr revIDLastSave="0" documentId="13_ncr:1_{D4C2CC69-67AC-42AC-A073-3388D5EDB8B6}" xr6:coauthVersionLast="47" xr6:coauthVersionMax="47" xr10:uidLastSave="{00000000-0000-0000-0000-000000000000}"/>
  <bookViews>
    <workbookView xWindow="1530" yWindow="2865" windowWidth="25260" windowHeight="12330" xr2:uid="{00000000-000D-0000-FFFF-FFFF00000000}"/>
  </bookViews>
  <sheets>
    <sheet name="Sheet1" sheetId="1" r:id="rId1"/>
    <sheet name="(EPOC-to-PRIMe ref)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" l="1"/>
  <c r="G21" i="2"/>
  <c r="G20" i="2"/>
  <c r="G19" i="2"/>
  <c r="G18" i="2"/>
  <c r="G16" i="2"/>
  <c r="G15" i="2"/>
  <c r="G14" i="2"/>
  <c r="G13" i="2"/>
  <c r="G11" i="2"/>
  <c r="G10" i="2"/>
  <c r="G9" i="2"/>
  <c r="G8" i="2"/>
  <c r="G7" i="2"/>
  <c r="G6" i="2"/>
  <c r="G5" i="2"/>
  <c r="G4" i="2"/>
  <c r="G3" i="2"/>
  <c r="G2" i="2"/>
  <c r="G1" i="2"/>
</calcChain>
</file>

<file path=xl/sharedStrings.xml><?xml version="1.0" encoding="utf-8"?>
<sst xmlns="http://schemas.openxmlformats.org/spreadsheetml/2006/main" count="70" uniqueCount="39">
  <si>
    <t>Test date</t>
  </si>
  <si>
    <t>pH</t>
  </si>
  <si>
    <t>pCO2</t>
  </si>
  <si>
    <t>pO2</t>
  </si>
  <si>
    <t>Na+</t>
  </si>
  <si>
    <t>K+</t>
  </si>
  <si>
    <t>Ca++</t>
  </si>
  <si>
    <t>TCO2</t>
  </si>
  <si>
    <t>Cl-</t>
  </si>
  <si>
    <t>Glu</t>
  </si>
  <si>
    <t>Lac</t>
  </si>
  <si>
    <t>BUN</t>
  </si>
  <si>
    <t>Urea</t>
  </si>
  <si>
    <t>Crea</t>
  </si>
  <si>
    <t>Hct</t>
  </si>
  <si>
    <t>cHgb</t>
  </si>
  <si>
    <t>cHCO3-</t>
  </si>
  <si>
    <t>cTCO2</t>
  </si>
  <si>
    <t>BE(b)</t>
  </si>
  <si>
    <t>BE(ecf)</t>
  </si>
  <si>
    <t>cSO2</t>
  </si>
  <si>
    <t>AGapK</t>
  </si>
  <si>
    <t>BUN/Crea</t>
  </si>
  <si>
    <t>Patient ID</t>
  </si>
  <si>
    <t>EPOC</t>
  </si>
  <si>
    <t>Gases+</t>
  </si>
  <si>
    <t>HCO3</t>
  </si>
  <si>
    <t>BE (ecf)</t>
  </si>
  <si>
    <t>Chem+</t>
  </si>
  <si>
    <t>Na</t>
  </si>
  <si>
    <t>K</t>
  </si>
  <si>
    <t>Cl</t>
  </si>
  <si>
    <t>tCO2</t>
  </si>
  <si>
    <t>An Gap</t>
  </si>
  <si>
    <t>Hgb</t>
  </si>
  <si>
    <t>BE (b)</t>
  </si>
  <si>
    <t>Meta+</t>
  </si>
  <si>
    <t>Gluc</t>
  </si>
  <si>
    <t>Lactate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</si>
</sst>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entury Schoolbook"/>
      <family val="1"/>
    </font>
    <font>
      <sz val="12"/>
      <name val="Century Schoolbook"/>
      <family val="1"/>
    </font>
    <font>
      <sz val="10"/>
      <name val="Century Schoolbook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 applyAlignment="1">
      <alignment horizontal="right"/>
    </xf>
    <xf numFmtId="0" fontId="4" fillId="0" borderId="1" xfId="0" applyFont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1" fillId="0" borderId="0" xfId="0" applyNumberFormat="1" applyFont="1"/>
    <xf numFmtId="2" fontId="0" fillId="0" borderId="0" xfId="0" applyNumberFormat="1"/>
    <xf numFmtId="0" fontId="3" fillId="0" borderId="1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3"/>
  <sheetViews>
    <sheetView tabSelected="1" topLeftCell="A7" workbookViewId="0">
      <selection activeCell="H9" sqref="H9"/>
    </sheetView>
  </sheetViews>
  <sheetFormatPr defaultRowHeight="15" x14ac:dyDescent="0.25"/>
  <cols>
    <col min="1" max="1" width="13" customWidth="1"/>
    <col min="2" max="2" width="10.7109375" bestFit="1" customWidth="1"/>
  </cols>
  <sheetData>
    <row r="1" spans="1:5" x14ac:dyDescent="0.25">
      <c r="A1" t="s">
        <v>0</v>
      </c>
      <c r="B1" s="1"/>
      <c r="D1" s="1"/>
      <c r="E1" s="1"/>
    </row>
    <row r="2" spans="1:5" x14ac:dyDescent="0.25">
      <c r="A2" t="s">
        <v>23</v>
      </c>
    </row>
    <row r="12" spans="1:5" x14ac:dyDescent="0.25">
      <c r="A12" t="s">
        <v>1</v>
      </c>
    </row>
    <row r="13" spans="1:5" x14ac:dyDescent="0.25">
      <c r="A13" t="s">
        <v>2</v>
      </c>
    </row>
    <row r="14" spans="1:5" x14ac:dyDescent="0.25">
      <c r="A14" t="s">
        <v>3</v>
      </c>
    </row>
    <row r="15" spans="1:5" x14ac:dyDescent="0.25">
      <c r="A15" t="s">
        <v>4</v>
      </c>
    </row>
    <row r="16" spans="1:5" x14ac:dyDescent="0.25">
      <c r="A16" t="s">
        <v>5</v>
      </c>
    </row>
    <row r="17" spans="1:4" x14ac:dyDescent="0.25">
      <c r="A17" t="s">
        <v>6</v>
      </c>
    </row>
    <row r="18" spans="1:4" x14ac:dyDescent="0.25">
      <c r="A18" t="s">
        <v>7</v>
      </c>
    </row>
    <row r="19" spans="1:4" x14ac:dyDescent="0.25">
      <c r="A19" t="s">
        <v>8</v>
      </c>
    </row>
    <row r="20" spans="1:4" x14ac:dyDescent="0.25">
      <c r="A20" t="s">
        <v>9</v>
      </c>
    </row>
    <row r="21" spans="1:4" x14ac:dyDescent="0.25">
      <c r="A21" t="s">
        <v>10</v>
      </c>
    </row>
    <row r="22" spans="1:4" x14ac:dyDescent="0.25">
      <c r="A22" t="s">
        <v>11</v>
      </c>
    </row>
    <row r="23" spans="1:4" x14ac:dyDescent="0.25">
      <c r="A23" t="s">
        <v>12</v>
      </c>
    </row>
    <row r="24" spans="1:4" x14ac:dyDescent="0.25">
      <c r="A24" t="s">
        <v>13</v>
      </c>
    </row>
    <row r="25" spans="1:4" x14ac:dyDescent="0.25">
      <c r="A25" t="s">
        <v>14</v>
      </c>
    </row>
    <row r="26" spans="1:4" x14ac:dyDescent="0.25">
      <c r="A26" t="s">
        <v>15</v>
      </c>
    </row>
    <row r="27" spans="1:4" x14ac:dyDescent="0.25">
      <c r="A27" t="s">
        <v>16</v>
      </c>
    </row>
    <row r="28" spans="1:4" x14ac:dyDescent="0.25">
      <c r="A28" t="s">
        <v>17</v>
      </c>
    </row>
    <row r="29" spans="1:4" x14ac:dyDescent="0.25">
      <c r="A29" t="s">
        <v>18</v>
      </c>
    </row>
    <row r="30" spans="1:4" x14ac:dyDescent="0.25">
      <c r="A30" t="s">
        <v>19</v>
      </c>
    </row>
    <row r="31" spans="1:4" x14ac:dyDescent="0.25">
      <c r="A31" t="s">
        <v>20</v>
      </c>
      <c r="D31" s="2"/>
    </row>
    <row r="32" spans="1:4" x14ac:dyDescent="0.25">
      <c r="A32" t="s">
        <v>21</v>
      </c>
    </row>
    <row r="33" spans="1:1" x14ac:dyDescent="0.25">
      <c r="A33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22"/>
  <sheetViews>
    <sheetView workbookViewId="0">
      <selection activeCell="E28" sqref="E28"/>
    </sheetView>
  </sheetViews>
  <sheetFormatPr defaultRowHeight="15" x14ac:dyDescent="0.25"/>
  <cols>
    <col min="2" max="4" width="10.7109375" bestFit="1" customWidth="1"/>
  </cols>
  <sheetData>
    <row r="1" spans="1:7" ht="15.75" customHeight="1" x14ac:dyDescent="0.25">
      <c r="A1" s="3" t="s">
        <v>24</v>
      </c>
      <c r="B1" s="9" t="s">
        <v>25</v>
      </c>
      <c r="C1" s="4" t="s">
        <v>1</v>
      </c>
      <c r="D1" s="5">
        <v>7.3460000000000001</v>
      </c>
      <c r="F1" t="s">
        <v>1</v>
      </c>
      <c r="G1" s="7">
        <f>D1</f>
        <v>7.3460000000000001</v>
      </c>
    </row>
    <row r="2" spans="1:7" ht="15.75" x14ac:dyDescent="0.25">
      <c r="B2" s="9"/>
      <c r="C2" s="4" t="s">
        <v>2</v>
      </c>
      <c r="D2" s="5">
        <v>54.3</v>
      </c>
      <c r="F2" t="s">
        <v>2</v>
      </c>
      <c r="G2" s="7">
        <f>D2</f>
        <v>54.3</v>
      </c>
    </row>
    <row r="3" spans="1:7" ht="15.75" x14ac:dyDescent="0.25">
      <c r="B3" s="9"/>
      <c r="C3" s="4" t="s">
        <v>3</v>
      </c>
      <c r="D3" s="5">
        <v>43.9</v>
      </c>
      <c r="F3" t="s">
        <v>3</v>
      </c>
      <c r="G3" s="7">
        <f>D3</f>
        <v>43.9</v>
      </c>
    </row>
    <row r="4" spans="1:7" ht="15.75" x14ac:dyDescent="0.25">
      <c r="B4" s="9"/>
      <c r="C4" s="4" t="s">
        <v>26</v>
      </c>
      <c r="D4" s="5">
        <v>29.7</v>
      </c>
      <c r="F4" t="s">
        <v>4</v>
      </c>
      <c r="G4" s="7">
        <f>D7</f>
        <v>143</v>
      </c>
    </row>
    <row r="5" spans="1:7" ht="15.75" x14ac:dyDescent="0.25">
      <c r="B5" s="9"/>
      <c r="C5" s="4" t="s">
        <v>27</v>
      </c>
      <c r="D5" s="6">
        <v>4</v>
      </c>
      <c r="F5" t="s">
        <v>5</v>
      </c>
      <c r="G5" s="7">
        <f>D8</f>
        <v>3.5</v>
      </c>
    </row>
    <row r="6" spans="1:7" ht="15.75" x14ac:dyDescent="0.25">
      <c r="B6" s="9"/>
      <c r="C6" s="4" t="s">
        <v>20</v>
      </c>
      <c r="D6" s="6">
        <v>76</v>
      </c>
      <c r="F6" t="s">
        <v>6</v>
      </c>
      <c r="G6" s="7">
        <f>D9</f>
        <v>1.22</v>
      </c>
    </row>
    <row r="7" spans="1:7" ht="15.75" customHeight="1" x14ac:dyDescent="0.25">
      <c r="B7" s="9" t="s">
        <v>28</v>
      </c>
      <c r="C7" s="4" t="s">
        <v>29</v>
      </c>
      <c r="D7" s="5">
        <v>143</v>
      </c>
      <c r="F7" t="s">
        <v>7</v>
      </c>
      <c r="G7" s="7">
        <f>D11</f>
        <v>29.1</v>
      </c>
    </row>
    <row r="8" spans="1:7" ht="15.75" x14ac:dyDescent="0.25">
      <c r="B8" s="9"/>
      <c r="C8" s="4" t="s">
        <v>30</v>
      </c>
      <c r="D8" s="5">
        <v>3.5</v>
      </c>
      <c r="F8" t="s">
        <v>8</v>
      </c>
      <c r="G8" s="7">
        <f>D10</f>
        <v>104</v>
      </c>
    </row>
    <row r="9" spans="1:7" ht="15.75" x14ac:dyDescent="0.25">
      <c r="B9" s="9"/>
      <c r="C9" s="4" t="s">
        <v>6</v>
      </c>
      <c r="D9" s="6">
        <v>1.22</v>
      </c>
      <c r="F9" t="s">
        <v>9</v>
      </c>
      <c r="G9" s="7">
        <f>D16</f>
        <v>66</v>
      </c>
    </row>
    <row r="10" spans="1:7" ht="15.75" x14ac:dyDescent="0.25">
      <c r="B10" s="9"/>
      <c r="C10" s="4" t="s">
        <v>31</v>
      </c>
      <c r="D10" s="5">
        <v>104</v>
      </c>
      <c r="F10" t="s">
        <v>10</v>
      </c>
      <c r="G10" s="7">
        <f>D17</f>
        <v>1.51</v>
      </c>
    </row>
    <row r="11" spans="1:7" ht="15.75" x14ac:dyDescent="0.25">
      <c r="B11" s="9"/>
      <c r="C11" s="4" t="s">
        <v>32</v>
      </c>
      <c r="D11" s="5">
        <v>29.1</v>
      </c>
      <c r="F11" t="s">
        <v>11</v>
      </c>
      <c r="G11" s="7">
        <f>D18</f>
        <v>5</v>
      </c>
    </row>
    <row r="12" spans="1:7" ht="15.75" x14ac:dyDescent="0.25">
      <c r="B12" s="9"/>
      <c r="C12" s="4" t="s">
        <v>33</v>
      </c>
      <c r="D12" s="6">
        <v>14</v>
      </c>
      <c r="F12" t="s">
        <v>12</v>
      </c>
      <c r="G12" s="2"/>
    </row>
    <row r="13" spans="1:7" ht="15.75" x14ac:dyDescent="0.25">
      <c r="B13" s="9"/>
      <c r="C13" s="4" t="s">
        <v>14</v>
      </c>
      <c r="D13" s="5">
        <v>45</v>
      </c>
      <c r="F13" t="s">
        <v>13</v>
      </c>
      <c r="G13" s="7">
        <f>D19</f>
        <v>0.97</v>
      </c>
    </row>
    <row r="14" spans="1:7" ht="15.75" x14ac:dyDescent="0.25">
      <c r="B14" s="9"/>
      <c r="C14" s="4" t="s">
        <v>34</v>
      </c>
      <c r="D14" s="5">
        <v>15.2</v>
      </c>
      <c r="F14" t="s">
        <v>14</v>
      </c>
      <c r="G14" s="7">
        <f>D13</f>
        <v>45</v>
      </c>
    </row>
    <row r="15" spans="1:7" ht="15.75" x14ac:dyDescent="0.25">
      <c r="B15" s="10"/>
      <c r="C15" s="4" t="s">
        <v>35</v>
      </c>
      <c r="D15" s="6">
        <v>2.6</v>
      </c>
      <c r="F15" t="s">
        <v>15</v>
      </c>
      <c r="G15" s="7">
        <f>D14</f>
        <v>15.2</v>
      </c>
    </row>
    <row r="16" spans="1:7" ht="15.75" customHeight="1" x14ac:dyDescent="0.25">
      <c r="B16" s="10" t="s">
        <v>36</v>
      </c>
      <c r="C16" s="4" t="s">
        <v>37</v>
      </c>
      <c r="D16" s="5">
        <v>66</v>
      </c>
      <c r="F16" t="s">
        <v>16</v>
      </c>
      <c r="G16" s="7">
        <f>D4</f>
        <v>29.7</v>
      </c>
    </row>
    <row r="17" spans="2:7" ht="15.75" x14ac:dyDescent="0.25">
      <c r="B17" s="11"/>
      <c r="C17" s="4" t="s">
        <v>38</v>
      </c>
      <c r="D17" s="5">
        <v>1.51</v>
      </c>
      <c r="F17" t="s">
        <v>17</v>
      </c>
      <c r="G17" s="2"/>
    </row>
    <row r="18" spans="2:7" ht="15.75" x14ac:dyDescent="0.25">
      <c r="B18" s="11"/>
      <c r="C18" s="4" t="s">
        <v>11</v>
      </c>
      <c r="D18" s="5">
        <v>5</v>
      </c>
      <c r="F18" t="s">
        <v>18</v>
      </c>
      <c r="G18" s="7">
        <f>D15</f>
        <v>2.6</v>
      </c>
    </row>
    <row r="19" spans="2:7" ht="15.75" x14ac:dyDescent="0.25">
      <c r="B19" s="11"/>
      <c r="C19" s="4" t="s">
        <v>13</v>
      </c>
      <c r="D19" s="6">
        <v>0.97</v>
      </c>
      <c r="F19" t="s">
        <v>19</v>
      </c>
      <c r="G19" s="7">
        <f>D5</f>
        <v>4</v>
      </c>
    </row>
    <row r="20" spans="2:7" ht="15.75" x14ac:dyDescent="0.25">
      <c r="B20" s="12"/>
      <c r="C20" s="4" t="s">
        <v>22</v>
      </c>
      <c r="D20" s="6">
        <v>5.2</v>
      </c>
      <c r="F20" t="s">
        <v>20</v>
      </c>
      <c r="G20" s="8">
        <f>D6</f>
        <v>76</v>
      </c>
    </row>
    <row r="21" spans="2:7" x14ac:dyDescent="0.25">
      <c r="F21" t="s">
        <v>21</v>
      </c>
      <c r="G21" s="7">
        <f>D12</f>
        <v>14</v>
      </c>
    </row>
    <row r="22" spans="2:7" x14ac:dyDescent="0.25">
      <c r="F22" t="s">
        <v>22</v>
      </c>
      <c r="G22" s="7">
        <f>D20</f>
        <v>5.2</v>
      </c>
    </row>
  </sheetData>
  <mergeCells count="3">
    <mergeCell ref="B1:B6"/>
    <mergeCell ref="B7:B15"/>
    <mergeCell ref="B16:B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(EPOC-to-PRIMe ref)</vt:lpstr>
    </vt:vector>
  </TitlesOfParts>
  <Company>Oregon Health and Science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Kristy Ritchie</dc:creator>
  <cp:lastModifiedBy>Raymond Blasa</cp:lastModifiedBy>
  <dcterms:created xsi:type="dcterms:W3CDTF">2022-12-22T18:58:54Z</dcterms:created>
  <dcterms:modified xsi:type="dcterms:W3CDTF">2024-12-13T01:44:09Z</dcterms:modified>
</cp:coreProperties>
</file>